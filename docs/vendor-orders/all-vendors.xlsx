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ey" sheetId="1" state="visible" r:id="rId1"/>
    <sheet name="Newark" sheetId="2" state="visible" r:id="rId2"/>
    <sheet name="Mouser" sheetId="3" state="visible" r:id="rId3"/>
    <sheet name="Texas Instruments" sheetId="4" state="visible" r:id="rId4"/>
    <sheet name="LCSC" sheetId="5" state="visible" r:id="rId5"/>
    <sheet name="Pyrodrone" sheetId="6" state="visible" r:id="rId6"/>
    <sheet name="Amazon" sheetId="7" state="visible" r:id="rId7"/>
    <sheet name="RaceDayQuads" sheetId="8" state="visible" r:id="rId8"/>
    <sheet name="VoCore" sheetId="9" state="visible" r:id="rId9"/>
    <sheet name="Adafruit" sheetId="10" state="visible" r:id="rId10"/>
    <sheet name="Pololu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espressif-systems/ESP32-S3FN8/15822446" TargetMode="External" Id="rId1" /><Relationship Type="http://schemas.openxmlformats.org/officeDocument/2006/relationships/hyperlink" Target="https://www.digikey.com/en/products/detail/u-blox/MAX-M10S-00B/15712906" TargetMode="External" Id="rId2" /><Relationship Type="http://schemas.openxmlformats.org/officeDocument/2006/relationships/hyperlink" Target="https://www.digikey.com/en/products/detail/bosch-sensortec/BMP581/16036134" TargetMode="External" Id="rId3" /><Relationship Type="http://schemas.openxmlformats.org/officeDocument/2006/relationships/hyperlink" Target="https://www.digikey.com/en/products/detail/texas-instruments/TLV75733PDRVR/8038260" TargetMode="External" Id="rId4" /><Relationship Type="http://schemas.openxmlformats.org/officeDocument/2006/relationships/hyperlink" Target="https://www.digikey.com/en/products/detail/stmicroelectronics/USBLC6-2SC6/1040559" TargetMode="External" Id="rId5" /><Relationship Type="http://schemas.openxmlformats.org/officeDocument/2006/relationships/hyperlink" Target="https://www.digikey.com/en/products/detail/epson/FA-128-40-0000MF10Z-K3/2514630" TargetMode="External" Id="rId6" /><Relationship Type="http://schemas.openxmlformats.org/officeDocument/2006/relationships/hyperlink" Target="https://www.digikey.com/en/products/detail/avx-corporation/TCJD107M025R0055/4990375" TargetMode="External" Id="rId7" /><Relationship Type="http://schemas.openxmlformats.org/officeDocument/2006/relationships/hyperlink" Target="https://www.digikey.com/en/products/result?keywords=SMAJ12A" TargetMode="External" Id="rId8" /><Relationship Type="http://schemas.openxmlformats.org/officeDocument/2006/relationships/hyperlink" Target="https://www.digikey.com/en/products/detail/diodes-incorporated/1N5819HW-7-F/814970" TargetMode="External" Id="rId9" /><Relationship Type="http://schemas.openxmlformats.org/officeDocument/2006/relationships/hyperlink" Target="https://www.digikey.com/en/products/result?keywords=150060RS75000" TargetMode="External" Id="rId10" /><Relationship Type="http://schemas.openxmlformats.org/officeDocument/2006/relationships/hyperlink" Target="https://www.digikey.com/en/products/result?keywords=150060VS75000" TargetMode="External" Id="rId11" /><Relationship Type="http://schemas.openxmlformats.org/officeDocument/2006/relationships/hyperlink" Target="https://www.digikey.com/en/products/result?keywords=150060YS75000" TargetMode="External" Id="rId12" /><Relationship Type="http://schemas.openxmlformats.org/officeDocument/2006/relationships/hyperlink" Target="https://www.digikey.com/en/products/detail/jst-sales-america-inc/SM08B-SRSS-TB-LF-SN/926714" TargetMode="External" Id="rId13" /><Relationship Type="http://schemas.openxmlformats.org/officeDocument/2006/relationships/hyperlink" Target="https://www.digikey.com/en/products/result?keywords=SM07B-SRSS-TB" TargetMode="External" Id="rId14" /><Relationship Type="http://schemas.openxmlformats.org/officeDocument/2006/relationships/hyperlink" Target="https://www.digikey.com/en/products/detail/jst-sales-america-inc/BM04B-SRSS-TB/926696" TargetMode="External" Id="rId15" /><Relationship Type="http://schemas.openxmlformats.org/officeDocument/2006/relationships/hyperlink" Target="https://www.digikey.com/en/products/detail/hirose-electric-co-ltd/U-FL-R-SMT-1-10/2391570" TargetMode="External" Id="rId16" /><Relationship Type="http://schemas.openxmlformats.org/officeDocument/2006/relationships/hyperlink" Target="https://www.digikey.com/en/products/detail/gct/USB4105-GF-A/11198441" TargetMode="External" Id="rId17" /><Relationship Type="http://schemas.openxmlformats.org/officeDocument/2006/relationships/hyperlink" Target="https://www.digikey.com/en/products/result?keywords=CIGW252010EH4R7MNE" TargetMode="External" Id="rId18" /><Relationship Type="http://schemas.openxmlformats.org/officeDocument/2006/relationships/hyperlink" Target="https://www.digikey.com/en/products/result?keywords=LQG15HS2N0B02D" TargetMode="External" Id="rId19" /><Relationship Type="http://schemas.openxmlformats.org/officeDocument/2006/relationships/hyperlink" Target="https://www.digikey.com/en/products/result?keywords=LQW15AN24NG00D" TargetMode="External" Id="rId20" /><Relationship Type="http://schemas.openxmlformats.org/officeDocument/2006/relationships/hyperlink" Target="https://www.digikey.com/en/products/result?keywords=GRM155R71C104KA88J" TargetMode="External" Id="rId21" /><Relationship Type="http://schemas.openxmlformats.org/officeDocument/2006/relationships/hyperlink" Target="https://www.digikey.com/en/products/result?keywords=CL05A105KP5NNNC" TargetMode="External" Id="rId22" /><Relationship Type="http://schemas.openxmlformats.org/officeDocument/2006/relationships/hyperlink" Target="https://www.digikey.com/en/products/result?keywords=GRM155R71H103KA88D" TargetMode="External" Id="rId23" /><Relationship Type="http://schemas.openxmlformats.org/officeDocument/2006/relationships/hyperlink" Target="https://www.digikey.com/en/products/result?keywords=GRM1555C1H150JA01D" TargetMode="External" Id="rId24" /><Relationship Type="http://schemas.openxmlformats.org/officeDocument/2006/relationships/hyperlink" Target="https://www.digikey.com/en/products/result?keywords=GRM155R61C225KE11J" TargetMode="External" Id="rId25" /><Relationship Type="http://schemas.openxmlformats.org/officeDocument/2006/relationships/hyperlink" Target="https://www.digikey.com/en/products/result?keywords=GRM188R60J106ME47D" TargetMode="External" Id="rId26" /><Relationship Type="http://schemas.openxmlformats.org/officeDocument/2006/relationships/hyperlink" Target="https://www.digikey.com/en/products/result?keywords=GRM21BR61C226ME44L" TargetMode="External" Id="rId27" /><Relationship Type="http://schemas.openxmlformats.org/officeDocument/2006/relationships/hyperlink" Target="https://www.digikey.com/en/products/result?keywords=C2012X5R1E106K125AB" TargetMode="External" Id="rId28" /><Relationship Type="http://schemas.openxmlformats.org/officeDocument/2006/relationships/hyperlink" Target="https://www.digikey.com/en/products/result?keywords=RC0402FR-0710KL" TargetMode="External" Id="rId29" /><Relationship Type="http://schemas.openxmlformats.org/officeDocument/2006/relationships/hyperlink" Target="https://www.digikey.com/en/products/result?keywords=RC0402FR-075K1L" TargetMode="External" Id="rId30" /><Relationship Type="http://schemas.openxmlformats.org/officeDocument/2006/relationships/hyperlink" Target="https://www.digikey.com/en/products/result?keywords=RC0402FR-071KL" TargetMode="External" Id="rId31" /><Relationship Type="http://schemas.openxmlformats.org/officeDocument/2006/relationships/hyperlink" Target="https://www.digikey.com/en/products/result?keywords=RC0402FR-072K2L" TargetMode="External" Id="rId32" /><Relationship Type="http://schemas.openxmlformats.org/officeDocument/2006/relationships/hyperlink" Target="https://www.digikey.com/en/products/detail/yageo/RC0402FR-07470RL/726619" TargetMode="External" Id="rId33" /><Relationship Type="http://schemas.openxmlformats.org/officeDocument/2006/relationships/hyperlink" Target="https://www.digikey.com/en/products/result?keywords=RC0402FR-07100KL" TargetMode="External" Id="rId34" /><Relationship Type="http://schemas.openxmlformats.org/officeDocument/2006/relationships/hyperlink" Target="https://www.digikey.com/en/products/result?keywords=RC0402FR-07143KL" TargetMode="External" Id="rId35" /><Relationship Type="http://schemas.openxmlformats.org/officeDocument/2006/relationships/hyperlink" Target="https://www.digikey.com/en/products/result?keywords=RC0402FR-0734KL" TargetMode="External" Id="rId36" /><Relationship Type="http://schemas.openxmlformats.org/officeDocument/2006/relationships/hyperlink" Target="https://www.digikey.com/en/products/result?keywords=RC0402JR-070RL" TargetMode="External" Id="rId37" /><Relationship Type="http://schemas.openxmlformats.org/officeDocument/2006/relationships/hyperlink" Target="https://www.digikey.com/en/products/detail/taoglas-limited/FXP73-07-0100A/2332703" TargetMode="External" Id="rId38" /><Relationship Type="http://schemas.openxmlformats.org/officeDocument/2006/relationships/hyperlink" Target="https://www.digikey.com/en/products/result?keywords=2065600100" TargetMode="External" Id="rId39" /><Relationship Type="http://schemas.openxmlformats.org/officeDocument/2006/relationships/hyperlink" Target="https://www.digikey.com/en/products/detail/panasonic-industry/EEU-FR1V471/2433575" TargetMode="External" Id="rId40" /><Relationship Type="http://schemas.openxmlformats.org/officeDocument/2006/relationships/hyperlink" Target="https://www.digikey.com/en/products/detail/jst-sales-america-inc/GHR-04V-S/807816" TargetMode="External" Id="rId41" /><Relationship Type="http://schemas.openxmlformats.org/officeDocument/2006/relationships/hyperlink" Target="https://www.digikey.com/en/products/detail/jst-sales-america-inc/AGHGH28K152/6009449" TargetMode="External" Id="rId42" /><Relationship Type="http://schemas.openxmlformats.org/officeDocument/2006/relationships/hyperlink" Target="https://www.digikey.com/en/products/result?keywords=BQ25887RGER" TargetMode="External" Id="rId43" /><Relationship Type="http://schemas.openxmlformats.org/officeDocument/2006/relationships/hyperlink" Target="https://www.digikey.com/en/products/result?keywords=TPS259474LRPWR" TargetMode="External" Id="rId44" /><Relationship Type="http://schemas.openxmlformats.org/officeDocument/2006/relationships/hyperlink" Target="https://www.digikey.com/en/products/result?keywords=RC0603FR-07470KL" TargetMode="External" Id="rId45" /><Relationship Type="http://schemas.openxmlformats.org/officeDocument/2006/relationships/hyperlink" Target="https://www.digikey.com/en/products/result?keywords=RC0603FR-07402KL" TargetMode="External" Id="rId46" /><Relationship Type="http://schemas.openxmlformats.org/officeDocument/2006/relationships/hyperlink" Target="https://www.digikey.com/en/products/result?keywords=RMCF0603FT100K" TargetMode="External" Id="rId47" /><Relationship Type="http://schemas.openxmlformats.org/officeDocument/2006/relationships/hyperlink" Target="https://www.digikey.com/en/products/result?keywords=DFE252012F-1R0M%3DP2" TargetMode="External" Id="rId48" /><Relationship Type="http://schemas.openxmlformats.org/officeDocument/2006/relationships/hyperlink" Target="https://www.digikey.com/en/products/detail/littelfuse-inc/SMBJ5-0A/285950" TargetMode="External" Id="rId49" /><Relationship Type="http://schemas.openxmlformats.org/officeDocument/2006/relationships/hyperlink" Target="https://www.digikey.com/en/products/result?keywords=1206L110THYR" TargetMode="External" Id="rId50" /><Relationship Type="http://schemas.openxmlformats.org/officeDocument/2006/relationships/hyperlink" Target="https://www.digikey.com/en/products/result?keywords=RC0603FR-071K2L" TargetMode="External" Id="rId51" /><Relationship Type="http://schemas.openxmlformats.org/officeDocument/2006/relationships/hyperlink" Target="https://www.digikey.com/en/products/result?keywords=ERJ-3EKF2211V" TargetMode="External" Id="rId52" /><Relationship Type="http://schemas.openxmlformats.org/officeDocument/2006/relationships/hyperlink" Target="https://www.digikey.com/en/products/result?keywords=RC0603FR-07300RL" TargetMode="External" Id="rId53" /><Relationship Type="http://schemas.openxmlformats.org/officeDocument/2006/relationships/hyperlink" Target="https://www.digikey.com/en/products/result?keywords=RC0603FR-075K23L" TargetMode="External" Id="rId54" /><Relationship Type="http://schemas.openxmlformats.org/officeDocument/2006/relationships/hyperlink" Target="https://www.digikey.com/en/products/result?keywords=RC0603FR-0730K1L" TargetMode="External" Id="rId55" /><Relationship Type="http://schemas.openxmlformats.org/officeDocument/2006/relationships/hyperlink" Target="https://www.digikey.com/en/products/result?keywords=RC2512FK-0740R2L" TargetMode="External" Id="rId56" /><Relationship Type="http://schemas.openxmlformats.org/officeDocument/2006/relationships/hyperlink" Target="https://www.digikey.com/en/products/result?keywords=103AT-2" TargetMode="External" Id="rId57" /><Relationship Type="http://schemas.openxmlformats.org/officeDocument/2006/relationships/hyperlink" Target="https://www.digikey.com/en/products/result?keywords=C1608X7R1E105K080AB" TargetMode="External" Id="rId58" /><Relationship Type="http://schemas.openxmlformats.org/officeDocument/2006/relationships/hyperlink" Target="https://www.digikey.com/en/products/result?keywords=C2012X5R1E106K125AB" TargetMode="External" Id="rId59" /><Relationship Type="http://schemas.openxmlformats.org/officeDocument/2006/relationships/hyperlink" Target="https://www.digikey.com/en/products/result?keywords=C0603C473K5RACTU" TargetMode="External" Id="rId60" /><Relationship Type="http://schemas.openxmlformats.org/officeDocument/2006/relationships/hyperlink" Target="https://www.digikey.com/en/products/result?keywords=C1608X5R1C475K080AC" TargetMode="External" Id="rId61" /><Relationship Type="http://schemas.openxmlformats.org/officeDocument/2006/relationships/hyperlink" Target="https://www.digikey.com/en/products/result?keywords=C2012X5R1C226M085AC" TargetMode="External" Id="rId62" /><Relationship Type="http://schemas.openxmlformats.org/officeDocument/2006/relationships/hyperlink" Target="https://www.digikey.com/en/products/result?keywords=SM07B-SRSS-TB" TargetMode="External" Id="rId63" /><Relationship Type="http://schemas.openxmlformats.org/officeDocument/2006/relationships/hyperlink" Target="https://www.digikey.com/en/products/result?keywords=B3B-XH-A" TargetMode="External" Id="rId64" /><Relationship Type="http://schemas.openxmlformats.org/officeDocument/2006/relationships/hyperlink" Target="https://www.digikey.com/en/products/detail/jst-sales-america-inc/SHR-07V-S-B/759871" TargetMode="External" Id="rId65" /><Relationship Type="http://schemas.openxmlformats.org/officeDocument/2006/relationships/hyperlink" Target="https://www.digikey.com/en/products/detail/jst-sales-america-inc/ASSHSSH28K152/6009452" TargetMode="External" Id="rId6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newark.com/invensense/icm-42688-p/mems-module-x-y-z-1-71v/dp/77AH45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user.com/ProductDetail/Diodes-Incorporated/AP63205WU-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i.com/product/TPS7A20/part-details/TPS7A2033PDBVR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csc.com/product-detail/Wire-To-Board-Connector_JST-SM04B-GHS-TB-LF-SN_C189895.html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pyrodrone.com/products/rcinpower-gts-v3-1303-8000kv-plus-2-3-inch-cinewhoop-micro-motor-teal-pink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azon.com/dp/B0DQSLQH87" TargetMode="External" Id="rId1" /><Relationship Type="http://schemas.openxmlformats.org/officeDocument/2006/relationships/hyperlink" Target="https://www.amazon.com/dp/B0DKCSF8C5" TargetMode="External" Id="rId2" /><Relationship Type="http://schemas.openxmlformats.org/officeDocument/2006/relationships/hyperlink" Target="https://www.amazon.com/s?k=HVAZI+M2+nylon+standoff+screw+nut+kit+180" TargetMode="External" Id="rId3" /><Relationship Type="http://schemas.openxmlformats.org/officeDocument/2006/relationships/hyperlink" Target="https://www.amazon.com/dp/B0D318NL5W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racedayquads.com/products/gemfan-hurricane-3018-durable-bi-blade-3-prop-8-pack-1-5mm-choose-your-color" TargetMode="External" Id="rId1" /><Relationship Type="http://schemas.openxmlformats.org/officeDocument/2006/relationships/hyperlink" Target="https://www.racedayquads.com/products/xt30-connector-male-or-female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vocore.io/#store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dafruit.com/product/44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pololu.com/product/55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ESP32-S3 processor</t>
        </is>
      </c>
      <c r="B2" t="n">
        <v>1</v>
      </c>
      <c r="C2" s="2" t="n">
        <v>4.17</v>
      </c>
      <c r="D2" s="2">
        <f>B2*C2</f>
        <v/>
      </c>
      <c r="E2" t="inlineStr">
        <is>
          <t>ESP32-S3FN8</t>
        </is>
      </c>
      <c r="F2" t="inlineStr">
        <is>
          <t>Flight controller</t>
        </is>
      </c>
      <c r="G2" t="inlineStr">
        <is>
          <t>https://www.digikey.com/en/products/detail/espressif-systems/ESP32-S3FN8/15822446</t>
        </is>
      </c>
      <c r="H2" s="2">
        <f>D2</f>
        <v/>
      </c>
    </row>
    <row r="3">
      <c r="A3" t="inlineStr">
        <is>
          <t>GPS module</t>
        </is>
      </c>
      <c r="B3" t="n">
        <v>1</v>
      </c>
      <c r="C3" s="2" t="n">
        <v>11.42</v>
      </c>
      <c r="D3" s="2">
        <f>B3*C3</f>
        <v/>
      </c>
      <c r="E3" t="inlineStr">
        <is>
          <t>MAX-M10S-00B</t>
        </is>
      </c>
      <c r="F3" t="inlineStr">
        <is>
          <t>Flight controller</t>
        </is>
      </c>
      <c r="G3" t="inlineStr">
        <is>
          <t>https://www.digikey.com/en/products/detail/u-blox/MAX-M10S-00B/15712906</t>
        </is>
      </c>
      <c r="H3" s="2">
        <f>D3</f>
        <v/>
      </c>
    </row>
    <row r="4">
      <c r="A4" t="inlineStr">
        <is>
          <t>Barometer</t>
        </is>
      </c>
      <c r="B4" t="n">
        <v>1</v>
      </c>
      <c r="C4" s="2" t="n">
        <v>3.35</v>
      </c>
      <c r="D4" s="2">
        <f>B4*C4</f>
        <v/>
      </c>
      <c r="E4" t="inlineStr">
        <is>
          <t>BMP581</t>
        </is>
      </c>
      <c r="F4" t="inlineStr">
        <is>
          <t>Flight controller; Out of stock everywhere on 2026-10-13. DigiKey restock due 2026-11-04.</t>
        </is>
      </c>
      <c r="G4" t="inlineStr">
        <is>
          <t>https://www.digikey.com/en/products/detail/bosch-sensortec/BMP581/16036134</t>
        </is>
      </c>
      <c r="H4" s="2">
        <f>D4</f>
        <v/>
      </c>
    </row>
    <row r="5">
      <c r="A5" t="inlineStr">
        <is>
          <t>3.3 V regulator, 1 A</t>
        </is>
      </c>
      <c r="B5" t="n">
        <v>1</v>
      </c>
      <c r="C5" s="2" t="n">
        <v>0.48</v>
      </c>
      <c r="D5" s="2">
        <f>B5*C5</f>
        <v/>
      </c>
      <c r="E5" t="inlineStr">
        <is>
          <t>TLV75733PDRVR</t>
        </is>
      </c>
      <c r="F5" t="inlineStr">
        <is>
          <t>Flight controller</t>
        </is>
      </c>
      <c r="G5" t="inlineStr">
        <is>
          <t>https://www.digikey.com/en/products/detail/texas-instruments/TLV75733PDRVR/8038260</t>
        </is>
      </c>
      <c r="H5" s="2">
        <f>D5</f>
        <v/>
      </c>
    </row>
    <row r="6">
      <c r="A6" t="inlineStr">
        <is>
          <t>USB protection</t>
        </is>
      </c>
      <c r="B6" t="n">
        <v>1</v>
      </c>
      <c r="C6" s="2" t="n">
        <v>0.54</v>
      </c>
      <c r="D6" s="2">
        <f>B6*C6</f>
        <v/>
      </c>
      <c r="E6" t="inlineStr">
        <is>
          <t>USBLC6-2SC6</t>
        </is>
      </c>
      <c r="F6" t="inlineStr">
        <is>
          <t>Flight controller</t>
        </is>
      </c>
      <c r="G6" t="inlineStr">
        <is>
          <t>https://www.digikey.com/en/products/detail/stmicroelectronics/USBLC6-2SC6/1040559</t>
        </is>
      </c>
      <c r="H6" s="2">
        <f>D6</f>
        <v/>
      </c>
    </row>
    <row r="7">
      <c r="A7" t="inlineStr">
        <is>
          <t>40 MHz crystal, 10 pF, ±10 ppm</t>
        </is>
      </c>
      <c r="B7" t="n">
        <v>1</v>
      </c>
      <c r="C7" s="2" t="n">
        <v>1.11</v>
      </c>
      <c r="D7" s="2">
        <f>B7*C7</f>
        <v/>
      </c>
      <c r="E7" t="inlineStr">
        <is>
          <t>FA-128 40.0000MF10Z-K3</t>
        </is>
      </c>
      <c r="F7" t="inlineStr">
        <is>
          <t>Flight controller</t>
        </is>
      </c>
      <c r="G7" t="inlineStr">
        <is>
          <t>https://www.digikey.com/en/products/detail/epson/FA-128-40-0000MF10Z-K3/2514630</t>
        </is>
      </c>
      <c r="H7" s="2">
        <f>D7</f>
        <v/>
      </c>
    </row>
    <row r="8">
      <c r="A8" t="inlineStr">
        <is>
          <t>100 µF 25 V polymer capacitor</t>
        </is>
      </c>
      <c r="B8" t="n">
        <v>1</v>
      </c>
      <c r="C8" s="2" t="n">
        <v>3.65</v>
      </c>
      <c r="D8" s="2">
        <f>B8*C8</f>
        <v/>
      </c>
      <c r="E8" t="inlineStr">
        <is>
          <t>TCJD107M025R0055</t>
        </is>
      </c>
      <c r="F8" t="inlineStr">
        <is>
          <t>Flight controller</t>
        </is>
      </c>
      <c r="G8" t="inlineStr">
        <is>
          <t>https://www.digikey.com/en/products/detail/avx-corporation/TCJD107M025R0055/4990375</t>
        </is>
      </c>
      <c r="H8" s="2">
        <f>D8</f>
        <v/>
      </c>
    </row>
    <row r="9">
      <c r="A9" t="inlineStr">
        <is>
          <t>Battery surge diode, 12 V standoff</t>
        </is>
      </c>
      <c r="B9" t="n">
        <v>1</v>
      </c>
      <c r="C9" s="2" t="n">
        <v>0.51</v>
      </c>
      <c r="D9" s="2">
        <f>B9*C9</f>
        <v/>
      </c>
      <c r="E9" t="inlineStr">
        <is>
          <t>SMAJ12A</t>
        </is>
      </c>
      <c r="F9" t="inlineStr">
        <is>
          <t>Flight controller; The board is 2S only</t>
        </is>
      </c>
      <c r="G9" t="inlineStr">
        <is>
          <t>https://www.digikey.com/en/products/result?keywords=SMAJ12A</t>
        </is>
      </c>
      <c r="H9" s="2">
        <f>D9</f>
        <v/>
      </c>
    </row>
    <row r="10">
      <c r="A10" t="inlineStr">
        <is>
          <t>Schottky diode, 1 A 40 V, SOD-123</t>
        </is>
      </c>
      <c r="B10" t="n">
        <v>1</v>
      </c>
      <c r="C10" s="2" t="n">
        <v>0.31</v>
      </c>
      <c r="D10" s="2">
        <f>B10*C10</f>
        <v/>
      </c>
      <c r="E10" t="inlineStr">
        <is>
          <t>1N5819HW-7-F</t>
        </is>
      </c>
      <c r="F10" t="inlineStr">
        <is>
          <t>Flight controller</t>
        </is>
      </c>
      <c r="G10" t="inlineStr">
        <is>
          <t>https://www.digikey.com/en/products/detail/diodes-incorporated/1N5819HW-7-F/814970</t>
        </is>
      </c>
      <c r="H10" s="2">
        <f>D10</f>
        <v/>
      </c>
    </row>
    <row r="11">
      <c r="A11" t="inlineStr">
        <is>
          <t>LED 0603, red</t>
        </is>
      </c>
      <c r="B11" t="n">
        <v>3</v>
      </c>
      <c r="C11" s="2" t="n">
        <v>0.15</v>
      </c>
      <c r="D11" s="2">
        <f>B11*C11</f>
        <v/>
      </c>
      <c r="E11" t="inlineStr">
        <is>
          <t>150060RS75000</t>
        </is>
      </c>
      <c r="F11" t="inlineStr">
        <is>
          <t>Flight controller</t>
        </is>
      </c>
      <c r="G11" t="inlineStr">
        <is>
          <t>https://www.digikey.com/en/products/result?keywords=150060RS75000</t>
        </is>
      </c>
      <c r="H11" s="2">
        <f>D11</f>
        <v/>
      </c>
    </row>
    <row r="12">
      <c r="A12" t="inlineStr">
        <is>
          <t>LED 0603, yellow-green</t>
        </is>
      </c>
      <c r="B12" t="n">
        <v>3</v>
      </c>
      <c r="C12" s="2" t="n">
        <v>0.15</v>
      </c>
      <c r="D12" s="2">
        <f>B12*C12</f>
        <v/>
      </c>
      <c r="E12" t="inlineStr">
        <is>
          <t>150060VS75000</t>
        </is>
      </c>
      <c r="F12" t="inlineStr">
        <is>
          <t>Flight controller</t>
        </is>
      </c>
      <c r="G12" t="inlineStr">
        <is>
          <t>https://www.digikey.com/en/products/result?keywords=150060VS75000</t>
        </is>
      </c>
      <c r="H12" s="2">
        <f>D12</f>
        <v/>
      </c>
    </row>
    <row r="13">
      <c r="A13" t="inlineStr">
        <is>
          <t>LED 0603, yellow</t>
        </is>
      </c>
      <c r="B13" t="n">
        <v>3</v>
      </c>
      <c r="C13" s="2" t="n">
        <v>0.15</v>
      </c>
      <c r="D13" s="2">
        <f>B13*C13</f>
        <v/>
      </c>
      <c r="E13" t="inlineStr">
        <is>
          <t>150060YS75000</t>
        </is>
      </c>
      <c r="F13" t="inlineStr">
        <is>
          <t>Flight controller</t>
        </is>
      </c>
      <c r="G13" t="inlineStr">
        <is>
          <t>https://www.digikey.com/en/products/result?keywords=150060YS75000</t>
        </is>
      </c>
      <c r="H13" s="2">
        <f>D13</f>
        <v/>
      </c>
    </row>
    <row r="14">
      <c r="A14" t="inlineStr">
        <is>
          <t>ESC connector, JST-SH 8-pin</t>
        </is>
      </c>
      <c r="B14" t="n">
        <v>1</v>
      </c>
      <c r="C14" s="2" t="n">
        <v>0.85</v>
      </c>
      <c r="D14" s="2">
        <f>B14*C14</f>
        <v/>
      </c>
      <c r="E14" t="inlineStr">
        <is>
          <t>SM08B-SRSS-TB</t>
        </is>
      </c>
      <c r="F14" t="inlineStr">
        <is>
          <t>Flight controller; DigiKey lists it as SM08B-SRSS-TB(LF)(SN)</t>
        </is>
      </c>
      <c r="G14" t="inlineStr">
        <is>
          <t>https://www.digikey.com/en/products/detail/jst-sales-america-inc/SM08B-SRSS-TB-LF-SN/926714</t>
        </is>
      </c>
      <c r="H14" s="2">
        <f>D14</f>
        <v/>
      </c>
    </row>
    <row r="15">
      <c r="A15" t="inlineStr">
        <is>
          <t>Charging port, JST-SH 7-pin</t>
        </is>
      </c>
      <c r="B15" t="n">
        <v>1</v>
      </c>
      <c r="C15" s="2" t="n">
        <v>0.8</v>
      </c>
      <c r="D15" s="2">
        <f>B15*C15</f>
        <v/>
      </c>
      <c r="E15" t="inlineStr">
        <is>
          <t>SM07B-SRSS-TB</t>
        </is>
      </c>
      <c r="F15" t="inlineStr">
        <is>
          <t>Flight controller; DigiKey lists it as SM07B-SRSS-TB(LF)(SN)</t>
        </is>
      </c>
      <c r="G15" t="inlineStr">
        <is>
          <t>https://www.digikey.com/en/products/result?keywords=SM07B-SRSS-TB</t>
        </is>
      </c>
      <c r="H15" s="2">
        <f>D15</f>
        <v/>
      </c>
    </row>
    <row r="16">
      <c r="A16" t="inlineStr">
        <is>
          <t>Radio port and landing sensor port, JST-SH 4-pin top entry</t>
        </is>
      </c>
      <c r="B16" t="n">
        <v>2</v>
      </c>
      <c r="C16" s="2" t="n">
        <v>0.53</v>
      </c>
      <c r="D16" s="2">
        <f>B16*C16</f>
        <v/>
      </c>
      <c r="E16" t="inlineStr">
        <is>
          <t>BM04B-SRSS-TB</t>
        </is>
      </c>
      <c r="F16" t="inlineStr">
        <is>
          <t>Flight controller; DigiKey lists it as BM04B-SRSS-TB(LF)(SN)</t>
        </is>
      </c>
      <c r="G16" t="inlineStr">
        <is>
          <t>https://www.digikey.com/en/products/detail/jst-sales-america-inc/BM04B-SRSS-TB/926696</t>
        </is>
      </c>
      <c r="H16" s="2">
        <f>D16</f>
        <v/>
      </c>
    </row>
    <row r="17">
      <c r="A17" t="inlineStr">
        <is>
          <t>Antenna sockets, U.FL</t>
        </is>
      </c>
      <c r="B17" t="n">
        <v>2</v>
      </c>
      <c r="C17" s="2" t="n">
        <v>1.67</v>
      </c>
      <c r="D17" s="2">
        <f>B17*C17</f>
        <v/>
      </c>
      <c r="E17" t="inlineStr">
        <is>
          <t>U.FL-R-SMT-1(10)</t>
        </is>
      </c>
      <c r="F17" t="inlineStr">
        <is>
          <t>Flight controller</t>
        </is>
      </c>
      <c r="G17" t="inlineStr">
        <is>
          <t>https://www.digikey.com/en/products/detail/hirose-electric-co-ltd/U-FL-R-SMT-1-10/2391570</t>
        </is>
      </c>
      <c r="H17" s="2">
        <f>D17</f>
        <v/>
      </c>
    </row>
    <row r="18">
      <c r="A18" t="inlineStr">
        <is>
          <t>USB-C socket, 16-pin</t>
        </is>
      </c>
      <c r="B18" t="n">
        <v>1</v>
      </c>
      <c r="C18" s="2" t="n">
        <v>0.8</v>
      </c>
      <c r="D18" s="2">
        <f>B18*C18</f>
        <v/>
      </c>
      <c r="E18" t="inlineStr">
        <is>
          <t>USB4105-GF-A</t>
        </is>
      </c>
      <c r="F18" t="inlineStr">
        <is>
          <t>Flight controller</t>
        </is>
      </c>
      <c r="G18" t="inlineStr">
        <is>
          <t>https://www.digikey.com/en/products/detail/gct/USB4105-GF-A/11198441</t>
        </is>
      </c>
      <c r="H18" s="2">
        <f>D18</f>
        <v/>
      </c>
    </row>
    <row r="19">
      <c r="A19" t="inlineStr">
        <is>
          <t>Buck inductor, 4.7 µH, 2.2 A saturation</t>
        </is>
      </c>
      <c r="B19" t="n">
        <v>1</v>
      </c>
      <c r="C19" s="2" t="n">
        <v>0.29</v>
      </c>
      <c r="D19" s="2">
        <f>B19*C19</f>
        <v/>
      </c>
      <c r="E19" t="inlineStr">
        <is>
          <t>CIGW252010EH4R7MNE</t>
        </is>
      </c>
      <c r="F19" t="inlineStr">
        <is>
          <t>Flight controller</t>
        </is>
      </c>
      <c r="G19" t="inlineStr">
        <is>
          <t>https://www.digikey.com/en/products/result?keywords=CIGW252010EH4R7MNE</t>
        </is>
      </c>
      <c r="H19" s="2">
        <f>D19</f>
        <v/>
      </c>
    </row>
    <row r="20">
      <c r="A20" t="inlineStr">
        <is>
          <t>Radio supply inductor, 2.0 nH</t>
        </is>
      </c>
      <c r="B20" t="n">
        <v>10</v>
      </c>
      <c r="C20" s="2" t="n">
        <v>0.1</v>
      </c>
      <c r="D20" s="2">
        <f>B20*C20</f>
        <v/>
      </c>
      <c r="E20" t="inlineStr">
        <is>
          <t>LQG15HS2N0B02D</t>
        </is>
      </c>
      <c r="F20" t="inlineStr">
        <is>
          <t>Flight controller</t>
        </is>
      </c>
      <c r="G20" t="inlineStr">
        <is>
          <t>https://www.digikey.com/en/products/result?keywords=LQG15HS2N0B02D</t>
        </is>
      </c>
      <c r="H20" s="2">
        <f>D20</f>
        <v/>
      </c>
    </row>
    <row r="21">
      <c r="A21" t="inlineStr">
        <is>
          <t>Crystal line inductor, 24 nH</t>
        </is>
      </c>
      <c r="B21" t="n">
        <v>10</v>
      </c>
      <c r="C21" s="2" t="n">
        <v>0.12</v>
      </c>
      <c r="D21" s="2">
        <f>B21*C21</f>
        <v/>
      </c>
      <c r="E21" t="inlineStr">
        <is>
          <t>LQW15AN24NG00D</t>
        </is>
      </c>
      <c r="F21" t="inlineStr">
        <is>
          <t>Flight controller</t>
        </is>
      </c>
      <c r="G21" t="inlineStr">
        <is>
          <t>https://www.digikey.com/en/products/result?keywords=LQW15AN24NG00D</t>
        </is>
      </c>
      <c r="H21" s="2">
        <f>D21</f>
        <v/>
      </c>
    </row>
    <row r="22">
      <c r="A22" t="inlineStr">
        <is>
          <t>0.1 µF 16 V, 0402</t>
        </is>
      </c>
      <c r="B22" t="n">
        <v>20</v>
      </c>
      <c r="C22" s="2" t="n">
        <v>0.1</v>
      </c>
      <c r="D22" s="2">
        <f>B22*C22</f>
        <v/>
      </c>
      <c r="E22" t="inlineStr">
        <is>
          <t>GRM155R71C104KA88J</t>
        </is>
      </c>
      <c r="F22" t="inlineStr">
        <is>
          <t>Flight controller</t>
        </is>
      </c>
      <c r="G22" t="inlineStr">
        <is>
          <t>https://www.digikey.com/en/products/result?keywords=GRM155R71C104KA88J</t>
        </is>
      </c>
      <c r="H22" s="2">
        <f>D22</f>
        <v/>
      </c>
    </row>
    <row r="23">
      <c r="A23" t="inlineStr">
        <is>
          <t>1 µF 10 V, 0402</t>
        </is>
      </c>
      <c r="B23" t="n">
        <v>10</v>
      </c>
      <c r="C23" s="2" t="n">
        <v>0.1</v>
      </c>
      <c r="D23" s="2">
        <f>B23*C23</f>
        <v/>
      </c>
      <c r="E23" t="inlineStr">
        <is>
          <t>CL05A105KP5NNNC</t>
        </is>
      </c>
      <c r="F23" t="inlineStr">
        <is>
          <t>Flight controller</t>
        </is>
      </c>
      <c r="G23" t="inlineStr">
        <is>
          <t>https://www.digikey.com/en/products/result?keywords=CL05A105KP5NNNC</t>
        </is>
      </c>
      <c r="H23" s="2">
        <f>D23</f>
        <v/>
      </c>
    </row>
    <row r="24">
      <c r="A24" t="inlineStr">
        <is>
          <t>10 nF 50 V, 0402</t>
        </is>
      </c>
      <c r="B24" t="n">
        <v>10</v>
      </c>
      <c r="C24" s="2" t="n">
        <v>0.1</v>
      </c>
      <c r="D24" s="2">
        <f>B24*C24</f>
        <v/>
      </c>
      <c r="E24" t="inlineStr">
        <is>
          <t>GRM155R71H103KA88D</t>
        </is>
      </c>
      <c r="F24" t="inlineStr">
        <is>
          <t>Flight controller</t>
        </is>
      </c>
      <c r="G24" t="inlineStr">
        <is>
          <t>https://www.digikey.com/en/products/result?keywords=GRM155R71H103KA88D</t>
        </is>
      </c>
      <c r="H24" s="2">
        <f>D24</f>
        <v/>
      </c>
    </row>
    <row r="25">
      <c r="A25" t="inlineStr">
        <is>
          <t>15 pF 50 V, 0402</t>
        </is>
      </c>
      <c r="B25" t="n">
        <v>10</v>
      </c>
      <c r="C25" s="2" t="n">
        <v>0.1</v>
      </c>
      <c r="D25" s="2">
        <f>B25*C25</f>
        <v/>
      </c>
      <c r="E25" t="inlineStr">
        <is>
          <t>GRM1555C1H150JA01D</t>
        </is>
      </c>
      <c r="F25" t="inlineStr">
        <is>
          <t>Flight controller</t>
        </is>
      </c>
      <c r="G25" t="inlineStr">
        <is>
          <t>https://www.digikey.com/en/products/result?keywords=GRM1555C1H150JA01D</t>
        </is>
      </c>
      <c r="H25" s="2">
        <f>D25</f>
        <v/>
      </c>
    </row>
    <row r="26">
      <c r="A26" t="inlineStr">
        <is>
          <t>2.2 µF 16 V, 0402</t>
        </is>
      </c>
      <c r="B26" t="n">
        <v>10</v>
      </c>
      <c r="C26" s="2" t="n">
        <v>0.22</v>
      </c>
      <c r="D26" s="2">
        <f>B26*C26</f>
        <v/>
      </c>
      <c r="E26" t="inlineStr">
        <is>
          <t>GRM155R61C225KE11J</t>
        </is>
      </c>
      <c r="F26" t="inlineStr">
        <is>
          <t>Flight controller</t>
        </is>
      </c>
      <c r="G26" t="inlineStr">
        <is>
          <t>https://www.digikey.com/en/products/result?keywords=GRM155R61C225KE11J</t>
        </is>
      </c>
      <c r="H26" s="2">
        <f>D26</f>
        <v/>
      </c>
    </row>
    <row r="27">
      <c r="A27" t="inlineStr">
        <is>
          <t>10 µF 6.3 V, 0603</t>
        </is>
      </c>
      <c r="B27" t="n">
        <v>10</v>
      </c>
      <c r="C27" s="2" t="n">
        <v>0.12</v>
      </c>
      <c r="D27" s="2">
        <f>B27*C27</f>
        <v/>
      </c>
      <c r="E27" t="inlineStr">
        <is>
          <t>GRM188R60J106ME47D</t>
        </is>
      </c>
      <c r="F27" t="inlineStr">
        <is>
          <t>Flight controller</t>
        </is>
      </c>
      <c r="G27" t="inlineStr">
        <is>
          <t>https://www.digikey.com/en/products/result?keywords=GRM188R60J106ME47D</t>
        </is>
      </c>
      <c r="H27" s="2">
        <f>D27</f>
        <v/>
      </c>
    </row>
    <row r="28">
      <c r="A28" t="inlineStr">
        <is>
          <t>22 uF 16 V, 0805</t>
        </is>
      </c>
      <c r="B28" t="n">
        <v>10</v>
      </c>
      <c r="C28" s="2" t="n">
        <v>0.45</v>
      </c>
      <c r="D28" s="2">
        <f>B28*C28</f>
        <v/>
      </c>
      <c r="E28" t="inlineStr">
        <is>
          <t>GRM21BR61C226ME44L</t>
        </is>
      </c>
      <c r="F28" t="inlineStr">
        <is>
          <t>Flight controller; 16 V part keeps more of its capacitance at 5 V than the 10 V one did</t>
        </is>
      </c>
      <c r="G28" t="inlineStr">
        <is>
          <t>https://www.digikey.com/en/products/result?keywords=GRM21BR61C226ME44L</t>
        </is>
      </c>
      <c r="H28" s="2">
        <f>D28</f>
        <v/>
      </c>
    </row>
    <row r="29">
      <c r="A29" t="inlineStr">
        <is>
          <t>10 µF 25 V, 0805</t>
        </is>
      </c>
      <c r="B29" t="n">
        <v>1</v>
      </c>
      <c r="C29" s="2" t="n">
        <v>0.34</v>
      </c>
      <c r="D29" s="2">
        <f>B29*C29</f>
        <v/>
      </c>
      <c r="E29" t="inlineStr">
        <is>
          <t>C2012X5R1E106K125AB</t>
        </is>
      </c>
      <c r="F29" t="inlineStr">
        <is>
          <t>Flight controller; The smaller size leaves room for the battery to reach the regulator beside it</t>
        </is>
      </c>
      <c r="G29" t="inlineStr">
        <is>
          <t>https://www.digikey.com/en/products/result?keywords=C2012X5R1E106K125AB</t>
        </is>
      </c>
      <c r="H29" s="2">
        <f>D29</f>
        <v/>
      </c>
    </row>
    <row r="30">
      <c r="A30" t="inlineStr">
        <is>
          <t>10 kΩ 1%, 0402</t>
        </is>
      </c>
      <c r="B30" t="n">
        <v>10</v>
      </c>
      <c r="C30" s="2" t="n">
        <v>0.1</v>
      </c>
      <c r="D30" s="2">
        <f>B30*C30</f>
        <v/>
      </c>
      <c r="E30" t="inlineStr">
        <is>
          <t>RC0402FR-0710KL</t>
        </is>
      </c>
      <c r="F30" t="inlineStr">
        <is>
          <t>Flight controller</t>
        </is>
      </c>
      <c r="G30" t="inlineStr">
        <is>
          <t>https://www.digikey.com/en/products/result?keywords=RC0402FR-0710KL</t>
        </is>
      </c>
      <c r="H30" s="2">
        <f>D30</f>
        <v/>
      </c>
    </row>
    <row r="31">
      <c r="A31" t="inlineStr">
        <is>
          <t>5.1 kΩ 1%, 0402</t>
        </is>
      </c>
      <c r="B31" t="n">
        <v>10</v>
      </c>
      <c r="C31" s="2" t="n">
        <v>0.1</v>
      </c>
      <c r="D31" s="2">
        <f>B31*C31</f>
        <v/>
      </c>
      <c r="E31" t="inlineStr">
        <is>
          <t>RC0402FR-075K1L</t>
        </is>
      </c>
      <c r="F31" t="inlineStr">
        <is>
          <t>Flight controller</t>
        </is>
      </c>
      <c r="G31" t="inlineStr">
        <is>
          <t>https://www.digikey.com/en/products/result?keywords=RC0402FR-075K1L</t>
        </is>
      </c>
      <c r="H31" s="2">
        <f>D31</f>
        <v/>
      </c>
    </row>
    <row r="32">
      <c r="A32" t="inlineStr">
        <is>
          <t>1 kΩ 1%, 0402</t>
        </is>
      </c>
      <c r="B32" t="n">
        <v>10</v>
      </c>
      <c r="C32" s="2" t="n">
        <v>0.1</v>
      </c>
      <c r="D32" s="2">
        <f>B32*C32</f>
        <v/>
      </c>
      <c r="E32" t="inlineStr">
        <is>
          <t>RC0402FR-071KL</t>
        </is>
      </c>
      <c r="F32" t="inlineStr">
        <is>
          <t>Flight controller</t>
        </is>
      </c>
      <c r="G32" t="inlineStr">
        <is>
          <t>https://www.digikey.com/en/products/result?keywords=RC0402FR-071KL</t>
        </is>
      </c>
      <c r="H32" s="2">
        <f>D32</f>
        <v/>
      </c>
    </row>
    <row r="33">
      <c r="A33" t="inlineStr">
        <is>
          <t>2.2 kΩ 1%, 0402</t>
        </is>
      </c>
      <c r="B33" t="n">
        <v>10</v>
      </c>
      <c r="C33" s="2" t="n">
        <v>0.1</v>
      </c>
      <c r="D33" s="2">
        <f>B33*C33</f>
        <v/>
      </c>
      <c r="E33" t="inlineStr">
        <is>
          <t>RC0402FR-072K2L</t>
        </is>
      </c>
      <c r="F33" t="inlineStr">
        <is>
          <t>Flight controller</t>
        </is>
      </c>
      <c r="G33" t="inlineStr">
        <is>
          <t>https://www.digikey.com/en/products/result?keywords=RC0402FR-072K2L</t>
        </is>
      </c>
      <c r="H33" s="2">
        <f>D33</f>
        <v/>
      </c>
    </row>
    <row r="34">
      <c r="A34" t="inlineStr">
        <is>
          <t>470 Ω 1%, 0402</t>
        </is>
      </c>
      <c r="B34" t="n">
        <v>10</v>
      </c>
      <c r="C34" s="2" t="n">
        <v>0.1</v>
      </c>
      <c r="D34" s="2">
        <f>B34*C34</f>
        <v/>
      </c>
      <c r="E34" t="inlineStr">
        <is>
          <t>RC0402FR-07470RL</t>
        </is>
      </c>
      <c r="F34" t="inlineStr">
        <is>
          <t>Flight controller</t>
        </is>
      </c>
      <c r="G34" t="inlineStr">
        <is>
          <t>https://www.digikey.com/en/products/detail/yageo/RC0402FR-07470RL/726619</t>
        </is>
      </c>
      <c r="H34" s="2">
        <f>D34</f>
        <v/>
      </c>
    </row>
    <row r="35">
      <c r="A35" t="inlineStr">
        <is>
          <t>100 kΩ 1%, 0402</t>
        </is>
      </c>
      <c r="B35" t="n">
        <v>10</v>
      </c>
      <c r="C35" s="2" t="n">
        <v>0.1</v>
      </c>
      <c r="D35" s="2">
        <f>B35*C35</f>
        <v/>
      </c>
      <c r="E35" t="inlineStr">
        <is>
          <t>RC0402FR-07100KL</t>
        </is>
      </c>
      <c r="F35" t="inlineStr">
        <is>
          <t>Flight controller</t>
        </is>
      </c>
      <c r="G35" t="inlineStr">
        <is>
          <t>https://www.digikey.com/en/products/result?keywords=RC0402FR-07100KL</t>
        </is>
      </c>
      <c r="H35" s="2">
        <f>D35</f>
        <v/>
      </c>
    </row>
    <row r="36">
      <c r="A36" t="inlineStr">
        <is>
          <t>143 kΩ 1%, 0402</t>
        </is>
      </c>
      <c r="B36" t="n">
        <v>10</v>
      </c>
      <c r="C36" s="2" t="n">
        <v>0.1</v>
      </c>
      <c r="D36" s="2">
        <f>B36*C36</f>
        <v/>
      </c>
      <c r="E36" t="inlineStr">
        <is>
          <t>RC0402FR-07143KL</t>
        </is>
      </c>
      <c r="F36" t="inlineStr">
        <is>
          <t>Flight controller</t>
        </is>
      </c>
      <c r="G36" t="inlineStr">
        <is>
          <t>https://www.digikey.com/en/products/result?keywords=RC0402FR-07143KL</t>
        </is>
      </c>
      <c r="H36" s="2">
        <f>D36</f>
        <v/>
      </c>
    </row>
    <row r="37">
      <c r="A37" t="inlineStr">
        <is>
          <t>34 kΩ 1%, 0402</t>
        </is>
      </c>
      <c r="B37" t="n">
        <v>10</v>
      </c>
      <c r="C37" s="2" t="n">
        <v>0.1</v>
      </c>
      <c r="D37" s="2">
        <f>B37*C37</f>
        <v/>
      </c>
      <c r="E37" t="inlineStr">
        <is>
          <t>RC0402FR-0734KL</t>
        </is>
      </c>
      <c r="F37" t="inlineStr">
        <is>
          <t>Flight controller</t>
        </is>
      </c>
      <c r="G37" t="inlineStr">
        <is>
          <t>https://www.digikey.com/en/products/result?keywords=RC0402FR-0734KL</t>
        </is>
      </c>
      <c r="H37" s="2">
        <f>D37</f>
        <v/>
      </c>
    </row>
    <row r="38">
      <c r="A38" t="inlineStr">
        <is>
          <t>0 Ω link, 0402</t>
        </is>
      </c>
      <c r="B38" t="n">
        <v>10</v>
      </c>
      <c r="C38" s="2" t="n">
        <v>0.1</v>
      </c>
      <c r="D38" s="2">
        <f>B38*C38</f>
        <v/>
      </c>
      <c r="E38" t="inlineStr">
        <is>
          <t>RC0402JR-070RL</t>
        </is>
      </c>
      <c r="F38" t="inlineStr">
        <is>
          <t>Flight controller</t>
        </is>
      </c>
      <c r="G38" t="inlineStr">
        <is>
          <t>https://www.digikey.com/en/products/result?keywords=RC0402JR-070RL</t>
        </is>
      </c>
      <c r="H38" s="2">
        <f>D38</f>
        <v/>
      </c>
    </row>
    <row r="39">
      <c r="A39" t="inlineStr">
        <is>
          <t>FXP73.07.0100A</t>
        </is>
      </c>
      <c r="B39" t="n">
        <v>1</v>
      </c>
      <c r="C39" s="2" t="n">
        <v>5.41</v>
      </c>
      <c r="D39" s="2">
        <f>B39*C39</f>
        <v/>
      </c>
      <c r="E39" t="inlineStr">
        <is>
          <t>FXP73.07.0100A</t>
        </is>
      </c>
      <c r="F39" t="inlineStr">
        <is>
          <t>Drone; 2.4 GHz Wi-Fi antenna, U.FL plug</t>
        </is>
      </c>
      <c r="G39" t="inlineStr">
        <is>
          <t>https://www.digikey.com/en/products/detail/taoglas-limited/FXP73-07-0100A/2332703</t>
        </is>
      </c>
      <c r="H39" s="2">
        <f>D39</f>
        <v/>
      </c>
    </row>
    <row r="40">
      <c r="A40" t="inlineStr">
        <is>
          <t>2065600100</t>
        </is>
      </c>
      <c r="B40" t="n">
        <v>1</v>
      </c>
      <c r="C40" s="2" t="n">
        <v>4.16</v>
      </c>
      <c r="D40" s="2">
        <f>B40*C40</f>
        <v/>
      </c>
      <c r="E40" t="inlineStr">
        <is>
          <t>2065600100</t>
        </is>
      </c>
      <c r="F40" t="inlineStr">
        <is>
          <t>Drone; GPS antenna, U.FL plug</t>
        </is>
      </c>
      <c r="G40" t="inlineStr">
        <is>
          <t>https://www.digikey.com/en/products/result?keywords=2065600100</t>
        </is>
      </c>
      <c r="H40" s="2">
        <f>D40</f>
        <v/>
      </c>
    </row>
    <row r="41">
      <c r="A41" t="inlineStr">
        <is>
          <t>EEU-FR1V471</t>
        </is>
      </c>
      <c r="B41" t="n">
        <v>1</v>
      </c>
      <c r="C41" s="2" t="n">
        <v>1.08</v>
      </c>
      <c r="D41" s="2">
        <f>B41*C41</f>
        <v/>
      </c>
      <c r="E41" t="inlineStr">
        <is>
          <t>EEU-FR1V471</t>
        </is>
      </c>
      <c r="F41" t="inlineStr">
        <is>
          <t>Drone; 470 uF 35 V capacitor for the ESC's battery pads; Out of stock 2026-10-11, due 2026-11-09. Any 470 uF 35 V low-ESR radial capacitor works</t>
        </is>
      </c>
      <c r="G41" t="inlineStr">
        <is>
          <t>https://www.digikey.com/en/products/detail/panasonic-industry/EEU-FR1V471/2433575</t>
        </is>
      </c>
      <c r="H41" s="2">
        <f>D41</f>
        <v/>
      </c>
    </row>
    <row r="42">
      <c r="A42" t="inlineStr">
        <is>
          <t>GHR-04V-S</t>
        </is>
      </c>
      <c r="B42" t="n">
        <v>1</v>
      </c>
      <c r="C42" s="2" t="n">
        <v>0.2</v>
      </c>
      <c r="D42" s="2">
        <f>B42*C42</f>
        <v/>
      </c>
      <c r="E42" t="inlineStr">
        <is>
          <t>GHR-04V-S</t>
        </is>
      </c>
      <c r="F42" t="inlineStr">
        <is>
          <t>Drone; Plug housing for the forward sensor cable, JST-GH 4-pin; Price approximate</t>
        </is>
      </c>
      <c r="G42" t="inlineStr">
        <is>
          <t>https://www.digikey.com/en/products/detail/jst-sales-america-inc/GHR-04V-S/807816</t>
        </is>
      </c>
      <c r="H42" s="2">
        <f>D42</f>
        <v/>
      </c>
    </row>
    <row r="43">
      <c r="A43" t="inlineStr">
        <is>
          <t>AGHGH28K152</t>
        </is>
      </c>
      <c r="B43" t="n">
        <v>2</v>
      </c>
      <c r="C43" s="2" t="n">
        <v>0.49</v>
      </c>
      <c r="D43" s="2">
        <f>B43*C43</f>
        <v/>
      </c>
      <c r="E43" t="inlineStr">
        <is>
          <t>AGHGH28K152</t>
        </is>
      </c>
      <c r="F43" t="inlineStr">
        <is>
          <t>Drone; Pre-crimped JST-GH wire, 150 mm; Price approximate. If the link fails, search the part number</t>
        </is>
      </c>
      <c r="G43" t="inlineStr">
        <is>
          <t>https://www.digikey.com/en/products/detail/jst-sales-america-inc/AGHGH28K152/6009449</t>
        </is>
      </c>
      <c r="H43" s="2">
        <f>D43</f>
        <v/>
      </c>
    </row>
    <row r="44">
      <c r="A44" t="inlineStr">
        <is>
          <t>2S boost charger with cell balancing, 4 x 4 mm QFN</t>
        </is>
      </c>
      <c r="B44" t="n">
        <v>1</v>
      </c>
      <c r="C44" s="2" t="n">
        <v>5.61</v>
      </c>
      <c r="D44" s="2">
        <f>B44*C44</f>
        <v/>
      </c>
      <c r="E44" t="inlineStr">
        <is>
          <t>BQ25887RGER</t>
        </is>
      </c>
      <c r="F44" t="inlineStr">
        <is>
          <t>Charging board; Texas Instruments. DigiKey had about 11 thousand on 2026-10-15; TI's own store was out</t>
        </is>
      </c>
      <c r="G44" t="inlineStr">
        <is>
          <t>https://www.digikey.com/en/products/result?keywords=BQ25887RGER</t>
        </is>
      </c>
      <c r="H44" s="2">
        <f>D44</f>
        <v/>
      </c>
    </row>
    <row r="45">
      <c r="A45" t="inlineStr">
        <is>
          <t>eFuse with overvoltage cut-off and reverse blocking, 2.7 to 23 V, 2 x 2 mm QFN</t>
        </is>
      </c>
      <c r="B45" t="n">
        <v>1</v>
      </c>
      <c r="C45" s="2" t="n">
        <v>1.95</v>
      </c>
      <c r="D45" s="2">
        <f>B45*C45</f>
        <v/>
      </c>
      <c r="E45" t="inlineStr">
        <is>
          <t>TPS259474LRPWR</t>
        </is>
      </c>
      <c r="F45" t="inlineStr">
        <is>
          <t>Charging board; Texas Instruments. Replaces the LM73100, out of stock until December.</t>
        </is>
      </c>
      <c r="G45" t="inlineStr">
        <is>
          <t>https://www.digikey.com/en/products/result?keywords=TPS259474LRPWR</t>
        </is>
      </c>
      <c r="H45" s="2">
        <f>D45</f>
        <v/>
      </c>
    </row>
    <row r="46">
      <c r="A46" t="inlineStr">
        <is>
          <t>470 kohm 1% resistor, 0603 (enable pull-up)</t>
        </is>
      </c>
      <c r="B46" t="n">
        <v>10</v>
      </c>
      <c r="C46" s="2" t="n">
        <v>0.03</v>
      </c>
      <c r="D46" s="2">
        <f>B46*C46</f>
        <v/>
      </c>
      <c r="E46" t="inlineStr">
        <is>
          <t>RC0603FR-07470KL</t>
        </is>
      </c>
      <c r="F46" t="inlineStr">
        <is>
          <t>Charging board; Yageo. From IN to EN/UVLO.</t>
        </is>
      </c>
      <c r="G46" t="inlineStr">
        <is>
          <t>https://www.digikey.com/en/products/result?keywords=RC0603FR-07470KL</t>
        </is>
      </c>
      <c r="H46" s="2">
        <f>D46</f>
        <v/>
      </c>
    </row>
    <row r="47">
      <c r="A47" t="inlineStr">
        <is>
          <t>402 kohm 1% resistor, 0603 (overvoltage cut-off, top)</t>
        </is>
      </c>
      <c r="B47" t="n">
        <v>10</v>
      </c>
      <c r="C47" s="2" t="n">
        <v>0.03</v>
      </c>
      <c r="D47" s="2">
        <f>B47*C47</f>
        <v/>
      </c>
      <c r="E47" t="inlineStr">
        <is>
          <t>RC0603FR-07402KL</t>
        </is>
      </c>
      <c r="F47" t="inlineStr">
        <is>
          <t>Charging board; Yageo. With 100 kohm below it, cuts the charger off above about 6.0 V.</t>
        </is>
      </c>
      <c r="G47" t="inlineStr">
        <is>
          <t>https://www.digikey.com/en/products/result?keywords=RC0603FR-07402KL</t>
        </is>
      </c>
      <c r="H47" s="2">
        <f>D47</f>
        <v/>
      </c>
    </row>
    <row r="48">
      <c r="A48" t="inlineStr">
        <is>
          <t>100 kohm 1% resistor, 0603 (overvoltage cut-off, bottom)</t>
        </is>
      </c>
      <c r="B48" t="n">
        <v>10</v>
      </c>
      <c r="C48" s="2" t="n">
        <v>0.02</v>
      </c>
      <c r="D48" s="2">
        <f>B48*C48</f>
        <v/>
      </c>
      <c r="E48" t="inlineStr">
        <is>
          <t>RMCF0603FT100K</t>
        </is>
      </c>
      <c r="F48" t="inlineStr">
        <is>
          <t>Charging board; Stackpole. The Yageo and Panasonic 100 kohm are out of stock</t>
        </is>
      </c>
      <c r="G48" t="inlineStr">
        <is>
          <t>https://www.digikey.com/en/products/result?keywords=RMCF0603FT100K</t>
        </is>
      </c>
      <c r="H48" s="2">
        <f>D48</f>
        <v/>
      </c>
    </row>
    <row r="49">
      <c r="A49" t="inlineStr">
        <is>
          <t>Power inductor 1 uH, shielded</t>
        </is>
      </c>
      <c r="B49" t="n">
        <v>1</v>
      </c>
      <c r="C49" s="2" t="n">
        <v>0.25</v>
      </c>
      <c r="D49" s="2">
        <f>B49*C49</f>
        <v/>
      </c>
      <c r="E49" t="inlineStr">
        <is>
          <t>DFE252012F-1R0M=P2</t>
        </is>
      </c>
      <c r="F49" t="inlineStr">
        <is>
          <t>Charging board; Murata. Saturation 4.7 A.</t>
        </is>
      </c>
      <c r="G49" t="inlineStr">
        <is>
          <t>https://www.digikey.com/en/products/result?keywords=DFE252012F-1R0M%3DP2</t>
        </is>
      </c>
      <c r="H49" s="2">
        <f>D49</f>
        <v/>
      </c>
    </row>
    <row r="50">
      <c r="A50" t="inlineStr">
        <is>
          <t>5 V surge diode on the dock input</t>
        </is>
      </c>
      <c r="B50" t="n">
        <v>1</v>
      </c>
      <c r="C50" s="2" t="n">
        <v>0.5</v>
      </c>
      <c r="D50" s="2">
        <f>B50*C50</f>
        <v/>
      </c>
      <c r="E50" t="inlineStr">
        <is>
          <t>SMBJ5.0A</t>
        </is>
      </c>
      <c r="F50" t="inlineStr">
        <is>
          <t>Charging board; Littelfuse. The Diodes Incorporated SMBJ5.0A-13-F is out of stock until January; same ratings.</t>
        </is>
      </c>
      <c r="G50" t="inlineStr">
        <is>
          <t>https://www.digikey.com/en/products/detail/littelfuse-inc/SMBJ5-0A/285950</t>
        </is>
      </c>
      <c r="H50" s="2">
        <f>D50</f>
        <v/>
      </c>
    </row>
    <row r="51">
      <c r="A51" t="inlineStr">
        <is>
          <t>Resettable fuse, about 1 A hold, 1206</t>
        </is>
      </c>
      <c r="B51" t="n">
        <v>1</v>
      </c>
      <c r="C51" s="2" t="n">
        <v>0.65</v>
      </c>
      <c r="D51" s="2">
        <f>B51*C51</f>
        <v/>
      </c>
      <c r="E51" t="inlineStr">
        <is>
          <t>1206L110THYR</t>
        </is>
      </c>
      <c r="F51" t="inlineStr">
        <is>
          <t>Charging board; Littelfuse. Checked 2026-10-15: 1.1 A hold, 2.2 A trip, 8 V max</t>
        </is>
      </c>
      <c r="G51" t="inlineStr">
        <is>
          <t>https://www.digikey.com/en/products/result?keywords=1206L110THYR</t>
        </is>
      </c>
      <c r="H51" s="2">
        <f>D51</f>
        <v/>
      </c>
    </row>
    <row r="52">
      <c r="A52" t="inlineStr">
        <is>
          <t>1.2 kohm 1% resistor, 0603 (input current limit)</t>
        </is>
      </c>
      <c r="B52" t="n">
        <v>10</v>
      </c>
      <c r="C52" s="2" t="n">
        <v>0.1</v>
      </c>
      <c r="D52" s="2">
        <f>B52*C52</f>
        <v/>
      </c>
      <c r="E52" t="inlineStr">
        <is>
          <t>RC0603FR-071K2L</t>
        </is>
      </c>
      <c r="F52" t="inlineStr">
        <is>
          <t>Charging board; Yageo. Input limit = 1110 / 1200 ohm = 0.925 A typical (datasheet K_ILIM 1110)</t>
        </is>
      </c>
      <c r="G52" t="inlineStr">
        <is>
          <t>https://www.digikey.com/en/products/result?keywords=RC0603FR-071K2L</t>
        </is>
      </c>
      <c r="H52" s="2">
        <f>D52</f>
        <v/>
      </c>
    </row>
    <row r="53">
      <c r="A53" t="inlineStr">
        <is>
          <t>2.21 kohm 1% resistor, 0603 (eFuse current limit)</t>
        </is>
      </c>
      <c r="B53" t="n">
        <v>10</v>
      </c>
      <c r="C53" s="2" t="n">
        <v>0.04</v>
      </c>
      <c r="D53" s="2">
        <f>B53*C53</f>
        <v/>
      </c>
      <c r="E53" t="inlineStr">
        <is>
          <t>ERJ-3EKF2211V</t>
        </is>
      </c>
      <c r="F53" t="inlineStr">
        <is>
          <t>Charging board; Panasonic. From the eFuse's ILM pin (9) to GND.</t>
        </is>
      </c>
      <c r="G53" t="inlineStr">
        <is>
          <t>https://www.digikey.com/en/products/result?keywords=ERJ-3EKF2211V</t>
        </is>
      </c>
      <c r="H53" s="2">
        <f>D53</f>
        <v/>
      </c>
    </row>
    <row r="54">
      <c r="A54" t="inlineStr">
        <is>
          <t>300 ohm 1% resistor, 0603 (cell balancing midpoint)</t>
        </is>
      </c>
      <c r="B54" t="n">
        <v>10</v>
      </c>
      <c r="C54" s="2" t="n">
        <v>0.1</v>
      </c>
      <c r="D54" s="2">
        <f>B54*C54</f>
        <v/>
      </c>
      <c r="E54" t="inlineStr">
        <is>
          <t>RC0603FR-07300RL</t>
        </is>
      </c>
      <c r="F54" t="inlineStr">
        <is>
          <t>Charging board; Yageo. 0603 assumed</t>
        </is>
      </c>
      <c r="G54" t="inlineStr">
        <is>
          <t>https://www.digikey.com/en/products/result?keywords=RC0603FR-07300RL</t>
        </is>
      </c>
      <c r="H54" s="2">
        <f>D54</f>
        <v/>
      </c>
    </row>
    <row r="55">
      <c r="A55" t="inlineStr">
        <is>
          <t>5.23 kohm 1% resistor, 0603 (thermistor bias, top)</t>
        </is>
      </c>
      <c r="B55" t="n">
        <v>10</v>
      </c>
      <c r="C55" s="2" t="n">
        <v>0.1</v>
      </c>
      <c r="D55" s="2">
        <f>B55*C55</f>
        <v/>
      </c>
      <c r="E55" t="inlineStr">
        <is>
          <t>RC0603FR-075K23L</t>
        </is>
      </c>
      <c r="F55" t="inlineStr">
        <is>
          <t>Charging board; Yageo. Datasheet value for a 103AT thermistor is 5.24 kohm; 5.23 kohm is the nearest 1% value</t>
        </is>
      </c>
      <c r="G55" t="inlineStr">
        <is>
          <t>https://www.digikey.com/en/products/result?keywords=RC0603FR-075K23L</t>
        </is>
      </c>
      <c r="H55" s="2">
        <f>D55</f>
        <v/>
      </c>
    </row>
    <row r="56">
      <c r="A56" t="inlineStr">
        <is>
          <t>30.1 kohm 1% resistor, 0603 (thermistor bias, bottom)</t>
        </is>
      </c>
      <c r="B56" t="n">
        <v>10</v>
      </c>
      <c r="C56" s="2" t="n">
        <v>0.1</v>
      </c>
      <c r="D56" s="2">
        <f>B56*C56</f>
        <v/>
      </c>
      <c r="E56" t="inlineStr">
        <is>
          <t>RC0603FR-0730K1L</t>
        </is>
      </c>
      <c r="F56" t="inlineStr">
        <is>
          <t>Charging board; Yageo. Datasheet value is 30.31 kohm; 30.1 kohm is the nearest 1% value</t>
        </is>
      </c>
      <c r="G56" t="inlineStr">
        <is>
          <t>https://www.digikey.com/en/products/result?keywords=RC0603FR-0730K1L</t>
        </is>
      </c>
      <c r="H56" s="2">
        <f>D56</f>
        <v/>
      </c>
    </row>
    <row r="57">
      <c r="A57" t="inlineStr">
        <is>
          <t>40.2 ohm 1% resistor, 1 W, 2512 (balancing current set)</t>
        </is>
      </c>
      <c r="B57" t="n">
        <v>2</v>
      </c>
      <c r="C57" s="2" t="n">
        <v>0.32</v>
      </c>
      <c r="D57" s="2">
        <f>B57*C57</f>
        <v/>
      </c>
      <c r="E57" t="inlineStr">
        <is>
          <t>RC2512FK-0740R2L</t>
        </is>
      </c>
      <c r="F57" t="inlineStr">
        <is>
          <t>Charging board; Yageo. Every 41.2 ohm 1 W 2512 is out of stock.</t>
        </is>
      </c>
      <c r="G57" t="inlineStr">
        <is>
          <t>https://www.digikey.com/en/products/result?keywords=RC2512FK-0740R2L</t>
        </is>
      </c>
      <c r="H57" s="2">
        <f>D57</f>
        <v/>
      </c>
    </row>
    <row r="58">
      <c r="A58" t="inlineStr">
        <is>
          <t>10 kohm battery thermistor</t>
        </is>
      </c>
      <c r="B58" t="n">
        <v>1</v>
      </c>
      <c r="C58" s="2" t="n">
        <v>0.68</v>
      </c>
      <c r="D58" s="2">
        <f>B58*C58</f>
        <v/>
      </c>
      <c r="E58" t="inlineStr">
        <is>
          <t>103AT-2</t>
        </is>
      </c>
      <c r="F58" t="inlineStr">
        <is>
          <t>Charging board; Semitec. Must touch the battery</t>
        </is>
      </c>
      <c r="G58" t="inlineStr">
        <is>
          <t>https://www.digikey.com/en/products/result?keywords=103AT-2</t>
        </is>
      </c>
      <c r="H58" s="2">
        <f>D58</f>
        <v/>
      </c>
    </row>
    <row r="59">
      <c r="A59" t="inlineStr">
        <is>
          <t>1 uF 25 V X7R capacitor, 0603 (VBUS)</t>
        </is>
      </c>
      <c r="B59" t="n">
        <v>10</v>
      </c>
      <c r="C59" s="2" t="n">
        <v>0.11</v>
      </c>
      <c r="D59" s="2">
        <f>B59*C59</f>
        <v/>
      </c>
      <c r="E59" t="inlineStr">
        <is>
          <t>C1608X7R1E105K080AB</t>
        </is>
      </c>
      <c r="F59" t="inlineStr">
        <is>
          <t>Charging board; TDK. The Murata GRM188R71E105KA12D is obsolete.</t>
        </is>
      </c>
      <c r="G59" t="inlineStr">
        <is>
          <t>https://www.digikey.com/en/products/result?keywords=C1608X7R1E105K080AB</t>
        </is>
      </c>
      <c r="H59" s="2">
        <f>D59</f>
        <v/>
      </c>
    </row>
    <row r="60">
      <c r="A60" t="inlineStr">
        <is>
          <t>10 uF 25 V capacitor, 0805 (PMID and BAT)</t>
        </is>
      </c>
      <c r="B60" t="n">
        <v>10</v>
      </c>
      <c r="C60" s="2" t="n">
        <v>0.34</v>
      </c>
      <c r="D60" s="2">
        <f>B60*C60</f>
        <v/>
      </c>
      <c r="E60" t="inlineStr">
        <is>
          <t>C2012X5R1E106K125AB</t>
        </is>
      </c>
      <c r="F60" t="inlineStr">
        <is>
          <t>Charging board; TDK, X5R. Datasheet: 10 uF at PMID with a 25 V rating; the same part works at BAT</t>
        </is>
      </c>
      <c r="G60" t="inlineStr">
        <is>
          <t>https://www.digikey.com/en/products/result?keywords=C2012X5R1E106K125AB</t>
        </is>
      </c>
      <c r="H60" s="2">
        <f>D60</f>
        <v/>
      </c>
    </row>
    <row r="61">
      <c r="A61" t="inlineStr">
        <is>
          <t>47 nF 50 V X7R capacitor, 0603 (bootstrap)</t>
        </is>
      </c>
      <c r="B61" t="n">
        <v>10</v>
      </c>
      <c r="C61" s="2" t="n">
        <v>0.07000000000000001</v>
      </c>
      <c r="D61" s="2">
        <f>B61*C61</f>
        <v/>
      </c>
      <c r="E61" t="inlineStr">
        <is>
          <t>C0603C473K5RACTU</t>
        </is>
      </c>
      <c r="F61" t="inlineStr">
        <is>
          <t>Charging board; KEMET. The Murata GRM188R71H473KA61D is obsolete</t>
        </is>
      </c>
      <c r="G61" t="inlineStr">
        <is>
          <t>https://www.digikey.com/en/products/result?keywords=C0603C473K5RACTU</t>
        </is>
      </c>
      <c r="H61" s="2">
        <f>D61</f>
        <v/>
      </c>
    </row>
    <row r="62">
      <c r="A62" t="inlineStr">
        <is>
          <t>4.7 uF 16 V X5R capacitor, 0603 (REGN)</t>
        </is>
      </c>
      <c r="B62" t="n">
        <v>10</v>
      </c>
      <c r="C62" s="2" t="n">
        <v>0.15</v>
      </c>
      <c r="D62" s="2">
        <f>B62*C62</f>
        <v/>
      </c>
      <c r="E62" t="inlineStr">
        <is>
          <t>C1608X5R1C475K080AC</t>
        </is>
      </c>
      <c r="F62" t="inlineStr">
        <is>
          <t>Charging board; TDK. DigiKey does not stock the Murata GRM188R61C475KAAJD</t>
        </is>
      </c>
      <c r="G62" t="inlineStr">
        <is>
          <t>https://www.digikey.com/en/products/result?keywords=C1608X5R1C475K080AC</t>
        </is>
      </c>
      <c r="H62" s="2">
        <f>D62</f>
        <v/>
      </c>
    </row>
    <row r="63">
      <c r="A63" t="inlineStr">
        <is>
          <t>22 uF 16 V X5R capacitor, 0805 (output)</t>
        </is>
      </c>
      <c r="B63" t="n">
        <v>4</v>
      </c>
      <c r="C63" s="2" t="n">
        <v>0.63</v>
      </c>
      <c r="D63" s="2">
        <f>B63*C63</f>
        <v/>
      </c>
      <c r="E63" t="inlineStr">
        <is>
          <t>C2012X5R1C226M085AC</t>
        </is>
      </c>
      <c r="F63" t="inlineStr">
        <is>
          <t>Charging board; TDK, 0.85 mm thick. The Murata GRM21BR61C226ME44L is out of stock until February.</t>
        </is>
      </c>
      <c r="G63" t="inlineStr">
        <is>
          <t>https://www.digikey.com/en/products/result?keywords=C2012X5R1C226M085AC</t>
        </is>
      </c>
      <c r="H63" s="2">
        <f>D63</f>
        <v/>
      </c>
    </row>
    <row r="64">
      <c r="A64" t="inlineStr">
        <is>
          <t>7-pin JST-SH connector to the flight controller</t>
        </is>
      </c>
      <c r="B64" t="n">
        <v>1</v>
      </c>
      <c r="C64" s="2" t="n">
        <v>0.8</v>
      </c>
      <c r="D64" s="2">
        <f>B64*C64</f>
        <v/>
      </c>
      <c r="E64" t="inlineStr">
        <is>
          <t>SM07B-SRSS-TB</t>
        </is>
      </c>
      <c r="F64" t="inlineStr">
        <is>
          <t>Charging board; JST. Same part as J7 on the flight controller</t>
        </is>
      </c>
      <c r="G64" t="inlineStr">
        <is>
          <t>https://www.digikey.com/en/products/result?keywords=SM07B-SRSS-TB</t>
        </is>
      </c>
      <c r="H64" s="2">
        <f>D64</f>
        <v/>
      </c>
    </row>
    <row r="65">
      <c r="A65" t="inlineStr">
        <is>
          <t>3-pin JST-XH header for the battery's balance plug</t>
        </is>
      </c>
      <c r="B65" t="n">
        <v>1</v>
      </c>
      <c r="C65" s="2" t="n">
        <v>0.15</v>
      </c>
      <c r="D65" s="2">
        <f>B65*C65</f>
        <v/>
      </c>
      <c r="E65" t="inlineStr">
        <is>
          <t>B3B-XH-A</t>
        </is>
      </c>
      <c r="F65" t="inlineStr">
        <is>
          <t>Charging board; JST</t>
        </is>
      </c>
      <c r="G65" t="inlineStr">
        <is>
          <t>https://www.digikey.com/en/products/result?keywords=B3B-XH-A</t>
        </is>
      </c>
      <c r="H65" s="2">
        <f>D65</f>
        <v/>
      </c>
    </row>
    <row r="66">
      <c r="A66" t="inlineStr">
        <is>
          <t>7-pin JST-SH plug housing, both ends of the cable to the flight controller</t>
        </is>
      </c>
      <c r="B66" t="n">
        <v>2</v>
      </c>
      <c r="C66" s="2" t="n">
        <v>0.15</v>
      </c>
      <c r="D66" s="2">
        <f>B66*C66</f>
        <v/>
      </c>
      <c r="E66" t="inlineStr">
        <is>
          <t>SHR-07V-S-B</t>
        </is>
      </c>
      <c r="F66" t="inlineStr">
        <is>
          <t>Charging board; JST</t>
        </is>
      </c>
      <c r="G66" t="inlineStr">
        <is>
          <t>https://www.digikey.com/en/products/detail/jst-sales-america-inc/SHR-07V-S-B/759871</t>
        </is>
      </c>
      <c r="H66" s="2">
        <f>D66</f>
        <v/>
      </c>
    </row>
    <row r="67">
      <c r="A67" t="inlineStr">
        <is>
          <t>Pre-crimped JST-SH wire, 150 mm, one per cable pin</t>
        </is>
      </c>
      <c r="B67" t="n">
        <v>7</v>
      </c>
      <c r="C67" s="2" t="n">
        <v>0.46</v>
      </c>
      <c r="D67" s="2">
        <f>B67*C67</f>
        <v/>
      </c>
      <c r="E67" t="inlineStr">
        <is>
          <t>ASSHSSH28K152</t>
        </is>
      </c>
      <c r="F67" t="inlineStr">
        <is>
          <t>Charging board; JST. Push one end of each wire into each housing, pin 1 to pin 1</t>
        </is>
      </c>
      <c r="G67" t="inlineStr">
        <is>
          <t>https://www.digikey.com/en/products/detail/jst-sales-america-inc/ASSHSSH28K152/6009452</t>
        </is>
      </c>
      <c r="H67" s="2">
        <f>D67</f>
        <v/>
      </c>
    </row>
    <row r="68">
      <c r="G68" s="3" t="inlineStr">
        <is>
          <t>Please select fastest shipping available</t>
        </is>
      </c>
      <c r="H68" s="2" t="n">
        <v>0</v>
      </c>
    </row>
    <row r="69">
      <c r="G69" s="3" t="inlineStr">
        <is>
          <t>Grand Total</t>
        </is>
      </c>
      <c r="H69" s="4">
        <f>SUM(H2:H68)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Gyro and accelerometer</t>
        </is>
      </c>
      <c r="B2" t="n">
        <v>1</v>
      </c>
      <c r="C2" s="2" t="n">
        <v>4.86</v>
      </c>
      <c r="D2" s="2">
        <f>B2*C2</f>
        <v/>
      </c>
      <c r="E2" t="inlineStr">
        <is>
          <t>ICM-42688-P</t>
        </is>
      </c>
      <c r="F2" t="inlineStr">
        <is>
          <t>Flight controller; DigiKey has none.</t>
        </is>
      </c>
      <c r="G2" t="inlineStr">
        <is>
          <t>https://www.newark.com/invensense/icm-42688-p/mems-module-x-y-z-1-71v/dp/77AH4524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5 V buck regulator</t>
        </is>
      </c>
      <c r="B2" t="n">
        <v>1</v>
      </c>
      <c r="C2" s="2" t="n">
        <v>0.89</v>
      </c>
      <c r="D2" s="2">
        <f>B2*C2</f>
        <v/>
      </c>
      <c r="E2" t="inlineStr">
        <is>
          <t>AP63205WU-7</t>
        </is>
      </c>
      <c r="F2" t="inlineStr">
        <is>
          <t>Flight controller</t>
        </is>
      </c>
      <c r="G2" t="inlineStr">
        <is>
          <t>https://www.mouser.com/ProductDetail/Diodes-Incorporated/AP63205WU-7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3.3 V low-noise regulator</t>
        </is>
      </c>
      <c r="B2" t="n">
        <v>1</v>
      </c>
      <c r="C2" s="2" t="n">
        <v>0.35</v>
      </c>
      <c r="D2" s="2">
        <f>B2*C2</f>
        <v/>
      </c>
      <c r="E2" t="inlineStr">
        <is>
          <t>TPS7A2033PDBVR</t>
        </is>
      </c>
      <c r="F2" t="inlineStr">
        <is>
          <t>Flight controller; Not the TPS7A0233, which is a different, noisier part</t>
        </is>
      </c>
      <c r="G2" t="inlineStr">
        <is>
          <t>https://www.ti.com/product/TPS7A20/part-details/TPS7A2033PDBVR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Obstacle sensor port, JST-GH 4-pin</t>
        </is>
      </c>
      <c r="B2" t="n">
        <v>1</v>
      </c>
      <c r="C2" s="2" t="n">
        <v>0.39</v>
      </c>
      <c r="D2" s="2">
        <f>B2*C2</f>
        <v/>
      </c>
      <c r="E2" t="inlineStr">
        <is>
          <t>SM04B-GHS-TB</t>
        </is>
      </c>
      <c r="F2" t="inlineStr">
        <is>
          <t>Flight controller; LCSC ships from China. Or wait for DigiKey, restock due 2026-11-16</t>
        </is>
      </c>
      <c r="G2" t="inlineStr">
        <is>
          <t>https://www.lcsc.com/product-detail/Wire-To-Board-Connector_JST-SM04B-GHS-TB-LF-SN_C189895.html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RCINPower GTS V3 1303 8000KV Plus (teal/pink)</t>
        </is>
      </c>
      <c r="B2" t="n">
        <v>4</v>
      </c>
      <c r="C2" s="2" t="n">
        <v>20.99</v>
      </c>
      <c r="D2" s="2">
        <f>B2*C2</f>
        <v/>
      </c>
      <c r="E2" t="inlineStr">
        <is>
          <t>RCINPower GTS V3 1303 8000KV Plus (teal/pink)</t>
        </is>
      </c>
      <c r="F2" t="inlineStr">
        <is>
          <t>Drone; Motor; Teal/pink, in stock 2026-10-15. The gold/orange colour is sold out; same motor.</t>
        </is>
      </c>
      <c r="G2" t="inlineStr">
        <is>
          <t>https://pyrodrone.com/products/rcinpower-gts-v3-1303-8000kv-plus-2-3-inch-cinewhoop-micro-motor-teal-pink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AERO SELFIE 30 A 4-in-1 ESC</t>
        </is>
      </c>
      <c r="B2" t="n">
        <v>1</v>
      </c>
      <c r="C2" s="2" t="n">
        <v>28.9</v>
      </c>
      <c r="D2" s="2">
        <f>B2*C2</f>
        <v/>
      </c>
      <c r="E2" t="inlineStr">
        <is>
          <t>B0DQSLQH87</t>
        </is>
      </c>
      <c r="F2" t="inlineStr">
        <is>
          <t>Drone; ESC, 2 to 4S, 20 mm holes, comes with its 8-pin cable</t>
        </is>
      </c>
      <c r="G2" t="inlineStr">
        <is>
          <t>https://www.amazon.com/dp/B0DQSLQH87</t>
        </is>
      </c>
      <c r="H2" s="2">
        <f>D2</f>
        <v/>
      </c>
    </row>
    <row r="3">
      <c r="A3" t="inlineStr">
        <is>
          <t>Benewake TF-Luna</t>
        </is>
      </c>
      <c r="B3" t="n">
        <v>2</v>
      </c>
      <c r="C3" s="2" t="n">
        <v>25.99</v>
      </c>
      <c r="D3" s="2">
        <f>B3*C3</f>
        <v/>
      </c>
      <c r="E3" t="inlineStr">
        <is>
          <t>B0DKCSF8C5</t>
        </is>
      </c>
      <c r="F3" t="inlineStr">
        <is>
          <t>Drone; Distance sensor, one forward and one down</t>
        </is>
      </c>
      <c r="G3" t="inlineStr">
        <is>
          <t>https://www.amazon.com/dp/B0DKCSF8C5</t>
        </is>
      </c>
      <c r="H3" s="2">
        <f>D3</f>
        <v/>
      </c>
    </row>
    <row r="4">
      <c r="A4" t="inlineStr">
        <is>
          <t>M2 nylon standoff, screw and nut kit, 180 pieces (HVAZI or similar)</t>
        </is>
      </c>
      <c r="B4" t="n">
        <v>1</v>
      </c>
      <c r="C4" s="2" t="n">
        <v>9.99</v>
      </c>
      <c r="D4" s="2">
        <f>B4*C4</f>
        <v/>
      </c>
      <c r="E4" t="inlineStr"/>
      <c r="F4" t="inlineStr">
        <is>
          <t>Drone; Hardware for the flight controller and ESC stack; M2, not M3: an M3 nut would not sit flat on top of the board at three holes. M2 passes through the M3 holes.</t>
        </is>
      </c>
      <c r="G4" t="inlineStr">
        <is>
          <t>https://www.amazon.com/s?k=HVAZI+M2+nylon+standoff+screw+nut+kit+180</t>
        </is>
      </c>
      <c r="H4" s="2">
        <f>D4</f>
        <v/>
      </c>
    </row>
    <row r="5">
      <c r="A5" t="inlineStr">
        <is>
          <t>OVONIC 2S 1100 mAh 7.6 V 60C battery, pack of 2</t>
        </is>
      </c>
      <c r="B5" t="n">
        <v>1</v>
      </c>
      <c r="C5" s="2" t="n">
        <v>26.99</v>
      </c>
      <c r="D5" s="2">
        <f>B5*C5</f>
        <v/>
      </c>
      <c r="E5" t="inlineStr">
        <is>
          <t>B0D318NL5W</t>
        </is>
      </c>
      <c r="F5" t="inlineStr">
        <is>
          <t>Drone; Battery; Pack of 2, $13.50 a battery. High-voltage type (charge to 4.35 V a cell), XT30 plug, 60C.</t>
        </is>
      </c>
      <c r="G5" t="inlineStr">
        <is>
          <t>https://www.amazon.com/dp/B0D318NL5W</t>
        </is>
      </c>
      <c r="H5" s="2">
        <f>D5</f>
        <v/>
      </c>
    </row>
    <row r="6">
      <c r="G6" s="3" t="inlineStr">
        <is>
          <t>Please select fastest shipping available</t>
        </is>
      </c>
      <c r="H6" s="2" t="n">
        <v>0</v>
      </c>
    </row>
    <row r="7">
      <c r="G7" s="3" t="inlineStr">
        <is>
          <t>Grand Total</t>
        </is>
      </c>
      <c r="H7" s="4">
        <f>SUM(H2:H6)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Gemfan Hurricane 3018, pack of 8</t>
        </is>
      </c>
      <c r="B2" t="n">
        <v>1</v>
      </c>
      <c r="C2" s="2" t="n">
        <v>4.99</v>
      </c>
      <c r="D2" s="2">
        <f>B2*C2</f>
        <v/>
      </c>
      <c r="E2" t="inlineStr">
        <is>
          <t>Gemfan Hurricane 3018, pack of 8</t>
        </is>
      </c>
      <c r="F2" t="inlineStr">
        <is>
          <t>Drone; Propellers, 1.5 mm hole, 4 clockwise and 4 counter-clockwise; Pick a colour that shows in stock</t>
        </is>
      </c>
      <c r="G2" t="inlineStr">
        <is>
          <t>https://www.racedayquads.com/products/gemfan-hurricane-3018-durable-bi-blade-3-prop-8-pack-1-5mm-choose-your-color</t>
        </is>
      </c>
      <c r="H2" s="2">
        <f>D2</f>
        <v/>
      </c>
    </row>
    <row r="3">
      <c r="A3" t="inlineStr">
        <is>
          <t>XT30 connector</t>
        </is>
      </c>
      <c r="B3" t="n">
        <v>1</v>
      </c>
      <c r="C3" s="2" t="n">
        <v>0.99</v>
      </c>
      <c r="D3" s="2">
        <f>B3*C3</f>
        <v/>
      </c>
      <c r="E3" t="inlineStr">
        <is>
          <t>XT30 connector</t>
        </is>
      </c>
      <c r="F3" t="inlineStr">
        <is>
          <t>Drone; Battery connector, male; Male, for the ESC's battery lead. The battery comes with its own XT30</t>
        </is>
      </c>
      <c r="G3" t="inlineStr">
        <is>
          <t>https://www.racedayquads.com/products/xt30-connector-male-or-female</t>
        </is>
      </c>
      <c r="H3" s="2">
        <f>D3</f>
        <v/>
      </c>
    </row>
    <row r="4">
      <c r="G4" s="3" t="inlineStr">
        <is>
          <t>Please select fastest shipping available</t>
        </is>
      </c>
      <c r="H4" s="2" t="n">
        <v>0</v>
      </c>
    </row>
    <row r="5">
      <c r="G5" s="3" t="inlineStr">
        <is>
          <t>Grand Total</t>
        </is>
      </c>
      <c r="H5" s="4">
        <f>SUM(H2:H4)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VoCore2</t>
        </is>
      </c>
      <c r="B2" t="n">
        <v>1</v>
      </c>
      <c r="C2" s="2" t="n">
        <v>21.48</v>
      </c>
      <c r="D2" s="2">
        <f>B2*C2</f>
        <v/>
      </c>
      <c r="E2" t="inlineStr">
        <is>
          <t>VoCore2</t>
        </is>
      </c>
      <c r="F2" t="inlineStr">
        <is>
          <t>Drone; Wi-Fi networking module; Bought from the store section of the maker's front page. Ships from China.</t>
        </is>
      </c>
      <c r="G2" t="inlineStr">
        <is>
          <t>https://vocore.io/#store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Adafruit LIS3MDL magnetometer breakout (product 4479)</t>
        </is>
      </c>
      <c r="B2" t="n">
        <v>1</v>
      </c>
      <c r="C2" s="2" t="n">
        <v>9.949999999999999</v>
      </c>
      <c r="D2" s="2">
        <f>B2*C2</f>
        <v/>
      </c>
      <c r="E2" t="inlineStr">
        <is>
          <t>Adafruit LIS3MDL magnetometer breakout (product 4479)</t>
        </is>
      </c>
      <c r="F2" t="inlineStr">
        <is>
          <t>Drone; Compass, 1.5 g; Shares the I2C wires of the J5 or J8 cable. Runs from that cable's 5 V.</t>
        </is>
      </c>
      <c r="G2" t="inlineStr">
        <is>
          <t>https://www.adafruit.com/product/4479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Pololu 5521</t>
        </is>
      </c>
      <c r="B2" t="n">
        <v>2</v>
      </c>
      <c r="C2" s="2" t="n">
        <v>2.04</v>
      </c>
      <c r="D2" s="2">
        <f>B2*C2</f>
        <v/>
      </c>
      <c r="E2" t="inlineStr">
        <is>
          <t>Pololu 5521</t>
        </is>
      </c>
      <c r="F2" t="inlineStr">
        <is>
          <t>Drone; JST-SH 4-pin cable, bare wires on one end, 30 cm; One for the downward sensor, one for the VoCore2</t>
        </is>
      </c>
      <c r="G2" t="inlineStr">
        <is>
          <t>https://www.pololu.com/product/5521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2026-10-16T01:06:10Z</dcterms:created>
  <dcterms:modified xsi:type="dcterms:W3CDTF">2026-10-16T01:06:11Z</dcterms:modified>
</cp:coreProperties>
</file>